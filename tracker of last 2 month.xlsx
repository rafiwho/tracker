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<sst xmlns="http://schemas.openxmlformats.org/spreadsheetml/2006/main" count="7" uniqueCount="7">
  <si>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</si>
  <si>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Codeforces</t>
  </si>
  <si>
    <t>AtCoder</t>
  </si>
  <si>
    <t>Individual</t>
  </si>
  <si>
    <t>Total Contest:</t>
  </si>
  <si>
    <t>Total Solve:</t>
  </si>
  <si>
    <t>Average Solve: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</si>
</sst>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m, 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1.25"/>
    <col customWidth="1" min="3" max="3" width="24.63"/>
    <col customWidth="1" min="4" max="4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45200.0</v>
      </c>
    </row>
    <row r="3">
      <c r="A3" s="2">
        <v>45201.0</v>
      </c>
    </row>
    <row r="4">
      <c r="A4" s="2">
        <v>45202.0</v>
      </c>
    </row>
    <row r="5">
      <c r="A5" s="2">
        <v>45203.0</v>
      </c>
    </row>
    <row r="6">
      <c r="A6" s="2">
        <v>45204.0</v>
      </c>
    </row>
    <row r="7">
      <c r="A7" s="2">
        <v>45205.0</v>
      </c>
    </row>
    <row r="8">
      <c r="A8" s="2">
        <v>45206.0</v>
      </c>
    </row>
    <row r="9">
      <c r="A9" s="2">
        <v>45207.0</v>
      </c>
    </row>
    <row r="10">
      <c r="A10" s="2">
        <v>45208.0</v>
      </c>
      <c r="B10" s="3">
        <v>1.0</v>
      </c>
    </row>
    <row r="11">
      <c r="A11" s="2">
        <v>45209.0</v>
      </c>
    </row>
    <row r="12">
      <c r="A12" s="2">
        <v>45210.0</v>
      </c>
    </row>
    <row r="13">
      <c r="A13" s="2">
        <v>45211.0</v>
      </c>
      <c r="B13" s="3">
        <v>1.0</v>
      </c>
    </row>
    <row r="14">
      <c r="A14" s="2">
        <v>45212.0</v>
      </c>
    </row>
    <row r="15">
      <c r="A15" s="2">
        <v>45213.0</v>
      </c>
      <c r="C15" s="3">
        <v>2.0</v>
      </c>
    </row>
    <row r="16">
      <c r="A16" s="2">
        <v>45214.0</v>
      </c>
    </row>
    <row r="17">
      <c r="A17" s="2">
        <v>45215.0</v>
      </c>
    </row>
    <row r="18">
      <c r="A18" s="2">
        <v>45216.0</v>
      </c>
    </row>
    <row r="19">
      <c r="A19" s="2">
        <v>45217.0</v>
      </c>
      <c r="B19" s="3">
        <v>2.0</v>
      </c>
    </row>
    <row r="20">
      <c r="A20" s="2">
        <v>45218.0</v>
      </c>
    </row>
    <row r="21">
      <c r="A21" s="2">
        <v>45219.0</v>
      </c>
      <c r="D21" s="3">
        <v>5.0</v>
      </c>
    </row>
    <row r="22">
      <c r="A22" s="2">
        <v>45220.0</v>
      </c>
    </row>
    <row r="23">
      <c r="A23" s="2">
        <v>45221.0</v>
      </c>
    </row>
    <row r="24">
      <c r="A24" s="2">
        <v>45222.0</v>
      </c>
    </row>
    <row r="25">
      <c r="A25" s="2">
        <v>45223.0</v>
      </c>
    </row>
    <row r="26">
      <c r="A26" s="2">
        <v>45224.0</v>
      </c>
    </row>
    <row r="27">
      <c r="A27" s="2">
        <v>45225.0</v>
      </c>
    </row>
    <row r="28">
      <c r="A28" s="2">
        <v>45226.0</v>
      </c>
      <c r="D28" s="3">
        <v>4.0</v>
      </c>
    </row>
    <row r="29">
      <c r="A29" s="2">
        <v>45227.0</v>
      </c>
      <c r="C29" s="3">
        <v>3.0</v>
      </c>
    </row>
    <row r="30">
      <c r="A30" s="2">
        <v>45228.0</v>
      </c>
    </row>
    <row r="31">
      <c r="A31" s="2">
        <v>45229.0</v>
      </c>
      <c r="B31" s="3">
        <v>1.0</v>
      </c>
    </row>
    <row r="32">
      <c r="A32" s="2">
        <v>45230.0</v>
      </c>
    </row>
    <row r="33">
      <c r="A33" s="2">
        <v>45231.0</v>
      </c>
    </row>
    <row r="34">
      <c r="A34" s="2">
        <v>45232.0</v>
      </c>
    </row>
    <row r="35">
      <c r="A35" s="2">
        <v>45233.0</v>
      </c>
      <c r="B35" s="3">
        <v>2.0</v>
      </c>
      <c r="D35" s="3">
        <v>7.0</v>
      </c>
    </row>
    <row r="36">
      <c r="A36" s="2">
        <v>45234.0</v>
      </c>
    </row>
    <row r="37">
      <c r="A37" s="2">
        <v>45235.0</v>
      </c>
    </row>
    <row r="38">
      <c r="A38" s="2">
        <v>45236.0</v>
      </c>
    </row>
    <row r="39">
      <c r="A39" s="2">
        <v>45237.0</v>
      </c>
      <c r="B39" s="3">
        <v>1.0</v>
      </c>
    </row>
    <row r="40">
      <c r="A40" s="2">
        <v>45238.0</v>
      </c>
    </row>
    <row r="41">
      <c r="A41" s="2">
        <v>45239.0</v>
      </c>
    </row>
    <row r="42">
      <c r="A42" s="2">
        <v>45240.0</v>
      </c>
      <c r="D42" s="3">
        <v>5.0</v>
      </c>
    </row>
    <row r="43">
      <c r="A43" s="2">
        <v>45241.0</v>
      </c>
    </row>
    <row r="44">
      <c r="A44" s="2">
        <v>45242.0</v>
      </c>
    </row>
    <row r="45">
      <c r="A45" s="2">
        <v>45243.0</v>
      </c>
    </row>
    <row r="46">
      <c r="A46" s="2">
        <v>45244.0</v>
      </c>
    </row>
    <row r="47">
      <c r="A47" s="2">
        <v>45245.0</v>
      </c>
    </row>
    <row r="48">
      <c r="A48" s="2">
        <v>45246.0</v>
      </c>
    </row>
    <row r="49">
      <c r="A49" s="2">
        <v>45247.0</v>
      </c>
      <c r="B49" s="3">
        <v>3.0</v>
      </c>
      <c r="D49" s="3">
        <v>6.0</v>
      </c>
    </row>
    <row r="50">
      <c r="A50" s="2">
        <v>45248.0</v>
      </c>
    </row>
    <row r="51">
      <c r="A51" s="2">
        <v>45249.0</v>
      </c>
      <c r="B51" s="3">
        <v>1.0</v>
      </c>
    </row>
    <row r="52">
      <c r="A52" s="2">
        <v>45250.0</v>
      </c>
    </row>
    <row r="53">
      <c r="A53" s="3"/>
    </row>
    <row r="54">
      <c r="A54" s="4" t="s">
        <v>4</v>
      </c>
      <c r="B54" s="4">
        <f t="shared" ref="B54:D54" si="1">COUNTIF(B2:B52,"&gt;0")</f>
        <v>8</v>
      </c>
      <c r="C54" s="4">
        <f t="shared" si="1"/>
        <v>2</v>
      </c>
      <c r="D54" s="4">
        <f t="shared" si="1"/>
        <v>5</v>
      </c>
    </row>
    <row r="55">
      <c r="A55" s="4" t="s">
        <v>5</v>
      </c>
      <c r="B55" s="4">
        <f t="shared" ref="B55:D55" si="2">SUM(B2:B52)</f>
        <v>12</v>
      </c>
      <c r="C55" s="4">
        <f t="shared" si="2"/>
        <v>5</v>
      </c>
      <c r="D55" s="4">
        <f t="shared" si="2"/>
        <v>27</v>
      </c>
    </row>
    <row r="56">
      <c r="A56" s="4" t="s">
        <v>6</v>
      </c>
      <c r="B56" s="4">
        <f>(B55/B54)</f>
        <v>1.5</v>
      </c>
      <c r="C56" s="4">
        <f>C55/C54</f>
        <v>2.5</v>
      </c>
      <c r="D56" s="4">
        <f>(D55/D54)</f>
        <v>5.4</v>
      </c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</sheetData>
  <drawing r:id="rId1"/>
</worksheet>
</file>